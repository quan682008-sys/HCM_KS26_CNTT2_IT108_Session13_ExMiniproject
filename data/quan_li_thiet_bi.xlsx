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E19" i="2" l="1"/>
  <c r="E18" i="2"/>
  <c r="E20" i="2"/>
  <c r="E21" i="2"/>
  <c r="E22" i="2"/>
  <c r="E23" i="2"/>
  <c r="E24" i="2"/>
  <c r="E25" i="2"/>
  <c r="E26" i="2"/>
  <c r="E27" i="2"/>
</calcChain>
</file>

<file path=xl/sharedStrings.xml><?xml version="1.0" encoding="utf-8"?>
<sst xmlns="http://schemas.openxmlformats.org/spreadsheetml/2006/main" count="151" uniqueCount="97">
  <si>
    <t>Mã linh kiện (Khóa chính)</t>
  </si>
  <si>
    <t xml:space="preserve">Tên thiết bị </t>
  </si>
  <si>
    <t>Đơn giá</t>
  </si>
  <si>
    <t>Loại storage (SSD/HDD)</t>
  </si>
  <si>
    <t>Danh mục linh kiện</t>
  </si>
  <si>
    <t>LK-SSD-001</t>
  </si>
  <si>
    <t>LK-SSD-002</t>
  </si>
  <si>
    <t>LK-SSD-003</t>
  </si>
  <si>
    <t>LK-SSD-004</t>
  </si>
  <si>
    <t>Lk-SSD-005</t>
  </si>
  <si>
    <t>SSD Kingston NV2 500GB PCIe 4.0 NVMe M.2</t>
  </si>
  <si>
    <t>SSD Samsung 980 1TB PCIe 3.0 NVMe M.2</t>
  </si>
  <si>
    <t>SSD Kingston NV3 1TB PCIe 4.0 NVMe M.2</t>
  </si>
  <si>
    <t>SSD Crucial BX500 480GB 2.5-inch SATA III</t>
  </si>
  <si>
    <t>SSD Samsung 990 Pro 2TB PCIe 4.0 NVMe M.2</t>
  </si>
  <si>
    <t>1.050.000</t>
  </si>
  <si>
    <t>2.150.000</t>
  </si>
  <si>
    <t>1.890.000</t>
  </si>
  <si>
    <t>4.850.000</t>
  </si>
  <si>
    <t>SSD</t>
  </si>
  <si>
    <t>Mã Trạm</t>
  </si>
  <si>
    <t>Mã linh kiện (khóa ngoại)</t>
  </si>
  <si>
    <t>Dung lượng RAM</t>
  </si>
  <si>
    <t xml:space="preserve">Ngày lắp đặt </t>
  </si>
  <si>
    <t>Trạng thái Trạm</t>
  </si>
  <si>
    <t>Mã lắp đặt (Khóa chính)</t>
  </si>
  <si>
    <t>LD01</t>
  </si>
  <si>
    <t>LD02</t>
  </si>
  <si>
    <t>LD03</t>
  </si>
  <si>
    <t>LD04</t>
  </si>
  <si>
    <t>LD05</t>
  </si>
  <si>
    <t>WS-01</t>
  </si>
  <si>
    <t>WS-02</t>
  </si>
  <si>
    <t>WS-03</t>
  </si>
  <si>
    <t>WS-04</t>
  </si>
  <si>
    <t>WS-05</t>
  </si>
  <si>
    <t>16 GB</t>
  </si>
  <si>
    <t>32 GB</t>
  </si>
  <si>
    <t>8 GB</t>
  </si>
  <si>
    <t>64 GB</t>
  </si>
  <si>
    <t>15/3/2026</t>
  </si>
  <si>
    <t>10/42026</t>
  </si>
  <si>
    <t>26/5/2026</t>
  </si>
  <si>
    <t>Column1</t>
  </si>
  <si>
    <t>STT</t>
  </si>
  <si>
    <t>Ngân hàng đối tác</t>
  </si>
  <si>
    <t>Mã đối tác</t>
  </si>
  <si>
    <t>Số giao dịch</t>
  </si>
  <si>
    <t>Phí cố định (VNĐ)</t>
  </si>
  <si>
    <t>Doanh số (VND)</t>
  </si>
  <si>
    <t>Tỷ lệ phí (%)</t>
  </si>
  <si>
    <t>Phí biến đổi (VND)</t>
  </si>
  <si>
    <t>Tổng phí (VND)</t>
  </si>
  <si>
    <t>Vietcombank</t>
  </si>
  <si>
    <t>VCB</t>
  </si>
  <si>
    <t> 25.364.580.000</t>
  </si>
  <si>
    <t xml:space="preserve">1.000.000 </t>
  </si>
  <si>
    <t>0,08%</t>
  </si>
  <si>
    <t>0,07%</t>
  </si>
  <si>
    <t>BIDV</t>
  </si>
  <si>
    <t>CTG</t>
  </si>
  <si>
    <t>TCB</t>
  </si>
  <si>
    <t>MBB</t>
  </si>
  <si>
    <t>ACB</t>
  </si>
  <si>
    <t>VPB</t>
  </si>
  <si>
    <t>TPB</t>
  </si>
  <si>
    <t>OCB</t>
  </si>
  <si>
    <t>SHB</t>
  </si>
  <si>
    <t>VietinBank</t>
  </si>
  <si>
    <t>TECHCOMBANK</t>
  </si>
  <si>
    <t>MB BANK</t>
  </si>
  <si>
    <t>VP BANK</t>
  </si>
  <si>
    <t>TPBANK</t>
  </si>
  <si>
    <t>Mã người dùng</t>
  </si>
  <si>
    <t>Tên người dùng</t>
  </si>
  <si>
    <t>Name10</t>
  </si>
  <si>
    <t>Name01</t>
  </si>
  <si>
    <t>Name02</t>
  </si>
  <si>
    <t>Name03</t>
  </si>
  <si>
    <t>Name04</t>
  </si>
  <si>
    <t>Name05</t>
  </si>
  <si>
    <t>Name06</t>
  </si>
  <si>
    <t>Name07</t>
  </si>
  <si>
    <t>Name08</t>
  </si>
  <si>
    <t>Name09</t>
  </si>
  <si>
    <t>Trần Văn Nam</t>
  </si>
  <si>
    <t>Dương Thị Thu</t>
  </si>
  <si>
    <t>Nguyễn Minh Quân</t>
  </si>
  <si>
    <t>Phan Hồng Nhân</t>
  </si>
  <si>
    <t>Lê Thị Thôi</t>
  </si>
  <si>
    <t>Trần Phương Nam</t>
  </si>
  <si>
    <t>Vũ Phương Anh</t>
  </si>
  <si>
    <t>Phí Văn Đức</t>
  </si>
  <si>
    <t>Nguyễn Trọng Nhân</t>
  </si>
  <si>
    <t>Trương Thúy Kiều</t>
  </si>
  <si>
    <t>BẢNG TỔNG HỢP CHI PHÍ TỪ ĐỐI TÁC NGÂN HÀNG (THÁNG 05/2024)</t>
  </si>
  <si>
    <t>Tên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</si>
</sst>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2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Font="1" applyBorder="1"/>
    <xf numFmtId="3" fontId="0" fillId="0" borderId="0" xfId="0" applyNumberFormat="1"/>
    <xf numFmtId="0" fontId="2" fillId="2" borderId="1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0" xfId="1" applyAlignment="1">
      <alignment horizontal="center"/>
    </xf>
    <xf numFmtId="0" fontId="5" fillId="4" borderId="0" xfId="1" applyFont="1" applyAlignment="1">
      <alignment horizontal="center"/>
    </xf>
    <xf numFmtId="0" fontId="4" fillId="5" borderId="2" xfId="2" applyAlignment="1">
      <alignment horizontal="center"/>
    </xf>
    <xf numFmtId="0" fontId="6" fillId="5" borderId="2" xfId="2" applyFont="1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Good" xfId="1" builtinId="26"/>
    <cellStyle name="Input" xfId="2" builtinId="20"/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2:D7" totalsRowShown="0" headerRowDxfId="24">
  <autoFilter ref="A2:D7"/>
  <tableColumns count="4">
    <tableColumn id="1" name="Mã linh kiện (Khóa chính)"/>
    <tableColumn id="2" name="Tên thiết bị "/>
    <tableColumn id="3" name="Đơn giá"/>
    <tableColumn id="4" name="Loại storage (SSD/HD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1:F16" totalsRowShown="0" headerRowDxfId="1" dataDxfId="0">
  <autoFilter ref="A11:F16"/>
  <tableColumns count="6">
    <tableColumn id="1" name="Mã lắp đặt (Khóa chính)" dataDxfId="7"/>
    <tableColumn id="2" name="Mã Trạm" dataDxfId="6"/>
    <tableColumn id="3" name="Mã linh kiện (khóa ngoại)" dataDxfId="5"/>
    <tableColumn id="6" name="Tên thiết bị" dataDxfId="4">
      <calculatedColumnFormula>VLOOKUP(C12, $A$3:$D$7, 2, FALSE)</calculatedColumnFormula>
    </tableColumn>
    <tableColumn id="4" name="Dung lượng RAM" dataDxfId="3"/>
    <tableColumn id="5" name="Ngày lắp đặt " dataDxfId="2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:J12" totalsRowShown="0" headerRowDxfId="23" dataDxfId="22">
  <autoFilter ref="A2:J12"/>
  <tableColumns count="10">
    <tableColumn id="11" name="Column1" dataDxfId="21"/>
    <tableColumn id="1" name="Tên người dùng" dataDxfId="20"/>
    <tableColumn id="2" name="Ngân hàng đối tác" dataDxfId="19"/>
    <tableColumn id="3" name="Mã đối tác" dataDxfId="18"/>
    <tableColumn id="4" name="Số giao dịch" dataDxfId="17"/>
    <tableColumn id="5" name="Doanh số (VND)" dataDxfId="16"/>
    <tableColumn id="6" name="Phí cố định (VNĐ)" dataDxfId="15"/>
    <tableColumn id="7" name="Tỷ lệ phí (%)" dataDxfId="14"/>
    <tableColumn id="8" name="Phí biến đổi (VND)" dataDxfId="13"/>
    <tableColumn id="9" name="Tổng phí (VND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7:E27" totalsRowShown="0" tableBorderDxfId="11">
  <autoFilter ref="A17:E27"/>
  <tableColumns count="5">
    <tableColumn id="1" name="STT" dataDxfId="10"/>
    <tableColumn id="2" name="Ngân hàng đối tác" dataDxfId="9"/>
    <tableColumn id="3" name="Mã người dùng"/>
    <tableColumn id="4" name="Tên người dùng"/>
    <tableColumn id="5" name="Số giao dịch" dataDxfId="8">
      <calculatedColumnFormula>VLOOKUP(TRIM(D18), $B$1:$J$12, 4,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5" sqref="D15"/>
    </sheetView>
  </sheetViews>
  <sheetFormatPr defaultRowHeight="15" x14ac:dyDescent="0.25"/>
  <cols>
    <col min="1" max="1" width="27.42578125" customWidth="1"/>
    <col min="2" max="2" width="50.5703125" customWidth="1"/>
    <col min="3" max="3" width="46.28515625" customWidth="1"/>
    <col min="4" max="4" width="46.42578125" customWidth="1"/>
    <col min="5" max="5" width="22.42578125" customWidth="1"/>
    <col min="6" max="6" width="18.85546875" customWidth="1"/>
  </cols>
  <sheetData>
    <row r="1" spans="1:6" ht="18.75" x14ac:dyDescent="0.3">
      <c r="A1" s="17" t="s">
        <v>4</v>
      </c>
      <c r="B1" s="16"/>
      <c r="C1" s="16"/>
      <c r="D1" s="16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25">
      <c r="A3" t="s">
        <v>5</v>
      </c>
      <c r="B3" t="s">
        <v>10</v>
      </c>
      <c r="C3" t="s">
        <v>15</v>
      </c>
      <c r="D3" t="s">
        <v>19</v>
      </c>
    </row>
    <row r="4" spans="1:6" x14ac:dyDescent="0.25">
      <c r="A4" t="s">
        <v>6</v>
      </c>
      <c r="B4" t="s">
        <v>11</v>
      </c>
      <c r="C4" t="s">
        <v>16</v>
      </c>
      <c r="D4" t="s">
        <v>19</v>
      </c>
    </row>
    <row r="5" spans="1:6" x14ac:dyDescent="0.25">
      <c r="A5" t="s">
        <v>7</v>
      </c>
      <c r="B5" t="s">
        <v>12</v>
      </c>
      <c r="C5" t="s">
        <v>17</v>
      </c>
      <c r="D5" t="s">
        <v>19</v>
      </c>
    </row>
    <row r="6" spans="1:6" x14ac:dyDescent="0.25">
      <c r="A6" t="s">
        <v>8</v>
      </c>
      <c r="B6" t="s">
        <v>13</v>
      </c>
      <c r="C6" s="3">
        <v>820</v>
      </c>
      <c r="D6" t="s">
        <v>19</v>
      </c>
    </row>
    <row r="7" spans="1:6" x14ac:dyDescent="0.25">
      <c r="A7" t="s">
        <v>9</v>
      </c>
      <c r="B7" t="s">
        <v>14</v>
      </c>
      <c r="C7" t="s">
        <v>18</v>
      </c>
      <c r="D7" t="s">
        <v>19</v>
      </c>
    </row>
    <row r="10" spans="1:6" ht="21" x14ac:dyDescent="0.35">
      <c r="A10" s="15" t="s">
        <v>24</v>
      </c>
      <c r="B10" s="14"/>
      <c r="C10" s="14"/>
      <c r="D10" s="14"/>
      <c r="E10" s="14"/>
      <c r="F10" s="14"/>
    </row>
    <row r="11" spans="1:6" x14ac:dyDescent="0.25">
      <c r="A11" s="2" t="s">
        <v>25</v>
      </c>
      <c r="B11" s="2" t="s">
        <v>20</v>
      </c>
      <c r="C11" s="2" t="s">
        <v>21</v>
      </c>
      <c r="D11" s="2" t="s">
        <v>96</v>
      </c>
      <c r="E11" s="2" t="s">
        <v>22</v>
      </c>
      <c r="F11" s="2" t="s">
        <v>23</v>
      </c>
    </row>
    <row r="12" spans="1:6" x14ac:dyDescent="0.25">
      <c r="A12" s="2" t="s">
        <v>26</v>
      </c>
      <c r="B12" s="2" t="s">
        <v>31</v>
      </c>
      <c r="C12" s="2" t="s">
        <v>5</v>
      </c>
      <c r="D12" s="2" t="str">
        <f t="shared" ref="D12:D16" si="0">VLOOKUP(C12, $A$3:$D$7, 2, FALSE)</f>
        <v>SSD Kingston NV2 500GB PCIe 4.0 NVMe M.2</v>
      </c>
      <c r="E12" s="2" t="s">
        <v>36</v>
      </c>
      <c r="F12" s="2" t="s">
        <v>40</v>
      </c>
    </row>
    <row r="13" spans="1:6" x14ac:dyDescent="0.25">
      <c r="A13" s="2" t="s">
        <v>27</v>
      </c>
      <c r="B13" s="2" t="s">
        <v>32</v>
      </c>
      <c r="C13" s="2" t="s">
        <v>6</v>
      </c>
      <c r="D13" s="2" t="str">
        <f t="shared" si="0"/>
        <v>SSD Samsung 980 1TB PCIe 3.0 NVMe M.2</v>
      </c>
      <c r="E13" s="2" t="s">
        <v>37</v>
      </c>
      <c r="F13" s="2" t="s">
        <v>41</v>
      </c>
    </row>
    <row r="14" spans="1:6" x14ac:dyDescent="0.25">
      <c r="A14" s="2" t="s">
        <v>28</v>
      </c>
      <c r="B14" s="2" t="s">
        <v>33</v>
      </c>
      <c r="C14" s="2" t="s">
        <v>7</v>
      </c>
      <c r="D14" s="2" t="str">
        <f t="shared" si="0"/>
        <v>SSD Kingston NV3 1TB PCIe 4.0 NVMe M.2</v>
      </c>
      <c r="E14" s="2" t="s">
        <v>37</v>
      </c>
      <c r="F14" s="2" t="s">
        <v>42</v>
      </c>
    </row>
    <row r="15" spans="1:6" x14ac:dyDescent="0.25">
      <c r="A15" s="2" t="s">
        <v>29</v>
      </c>
      <c r="B15" s="2" t="s">
        <v>34</v>
      </c>
      <c r="C15" s="2" t="s">
        <v>8</v>
      </c>
      <c r="D15" s="2" t="str">
        <f t="shared" si="0"/>
        <v>SSD Crucial BX500 480GB 2.5-inch SATA III</v>
      </c>
      <c r="E15" s="2" t="s">
        <v>38</v>
      </c>
      <c r="F15" s="18">
        <v>46149</v>
      </c>
    </row>
    <row r="16" spans="1:6" x14ac:dyDescent="0.25">
      <c r="A16" s="2" t="s">
        <v>30</v>
      </c>
      <c r="B16" s="2" t="s">
        <v>35</v>
      </c>
      <c r="C16" s="2" t="s">
        <v>9</v>
      </c>
      <c r="D16" s="2" t="str">
        <f t="shared" si="0"/>
        <v>SSD Samsung 990 Pro 2TB PCIe 4.0 NVMe M.2</v>
      </c>
      <c r="E16" s="2" t="s">
        <v>39</v>
      </c>
      <c r="F16" s="18">
        <v>46273</v>
      </c>
    </row>
  </sheetData>
  <mergeCells count="2">
    <mergeCell ref="A1:D1"/>
    <mergeCell ref="A10:F10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J22" sqref="J22"/>
    </sheetView>
  </sheetViews>
  <sheetFormatPr defaultRowHeight="15" x14ac:dyDescent="0.25"/>
  <cols>
    <col min="1" max="1" width="9.140625" customWidth="1"/>
    <col min="2" max="2" width="18.85546875" customWidth="1"/>
    <col min="3" max="4" width="18.5703125" customWidth="1"/>
    <col min="5" max="5" width="18" customWidth="1"/>
    <col min="6" max="6" width="19" customWidth="1"/>
    <col min="7" max="7" width="18.7109375" customWidth="1"/>
    <col min="8" max="8" width="19.7109375" customWidth="1"/>
    <col min="9" max="9" width="27.85546875" customWidth="1"/>
    <col min="10" max="10" width="58" customWidth="1"/>
  </cols>
  <sheetData>
    <row r="1" spans="1:10" x14ac:dyDescent="0.25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" t="s">
        <v>43</v>
      </c>
      <c r="B2" s="1" t="s">
        <v>74</v>
      </c>
      <c r="C2" s="1" t="s">
        <v>45</v>
      </c>
      <c r="D2" s="1" t="s">
        <v>46</v>
      </c>
      <c r="E2" s="1" t="s">
        <v>47</v>
      </c>
      <c r="F2" s="1" t="s">
        <v>49</v>
      </c>
      <c r="G2" s="1" t="s">
        <v>48</v>
      </c>
      <c r="H2" s="1" t="s">
        <v>50</v>
      </c>
      <c r="I2" s="1" t="s">
        <v>51</v>
      </c>
      <c r="J2" s="1" t="s">
        <v>52</v>
      </c>
    </row>
    <row r="3" spans="1:10" x14ac:dyDescent="0.25">
      <c r="A3" s="12">
        <v>1</v>
      </c>
      <c r="B3" t="s">
        <v>85</v>
      </c>
      <c r="C3" s="11" t="s">
        <v>53</v>
      </c>
      <c r="D3" s="1" t="s">
        <v>54</v>
      </c>
      <c r="E3" s="11">
        <v>128.345</v>
      </c>
      <c r="F3" s="11" t="s">
        <v>55</v>
      </c>
      <c r="G3" s="11" t="s">
        <v>56</v>
      </c>
      <c r="H3" s="11" t="s">
        <v>57</v>
      </c>
      <c r="I3" s="12">
        <v>20291664</v>
      </c>
      <c r="J3" s="12">
        <v>21291664</v>
      </c>
    </row>
    <row r="4" spans="1:10" x14ac:dyDescent="0.25">
      <c r="A4" s="12">
        <v>2</v>
      </c>
      <c r="B4" s="9" t="s">
        <v>86</v>
      </c>
      <c r="C4" s="1" t="s">
        <v>59</v>
      </c>
      <c r="D4" s="1" t="s">
        <v>59</v>
      </c>
      <c r="E4" s="12">
        <v>96732</v>
      </c>
      <c r="F4" s="12">
        <v>18245760000</v>
      </c>
      <c r="G4" s="1" t="s">
        <v>56</v>
      </c>
      <c r="H4" s="1" t="s">
        <v>57</v>
      </c>
      <c r="I4" s="12">
        <v>14596608</v>
      </c>
      <c r="J4" s="12">
        <v>15596608</v>
      </c>
    </row>
    <row r="5" spans="1:10" x14ac:dyDescent="0.25">
      <c r="A5" s="12">
        <v>3</v>
      </c>
      <c r="B5" t="s">
        <v>87</v>
      </c>
      <c r="C5" s="1" t="s">
        <v>68</v>
      </c>
      <c r="D5" s="1" t="s">
        <v>60</v>
      </c>
      <c r="E5" s="12">
        <v>87531</v>
      </c>
      <c r="F5" s="12">
        <v>16834210000</v>
      </c>
      <c r="G5" s="1" t="s">
        <v>56</v>
      </c>
      <c r="H5" s="1" t="s">
        <v>58</v>
      </c>
      <c r="I5" s="12">
        <v>11783947</v>
      </c>
      <c r="J5" s="12">
        <v>12783947</v>
      </c>
    </row>
    <row r="6" spans="1:10" x14ac:dyDescent="0.25">
      <c r="A6" s="12">
        <v>4</v>
      </c>
      <c r="B6" t="s">
        <v>88</v>
      </c>
      <c r="C6" s="1" t="s">
        <v>69</v>
      </c>
      <c r="D6" s="1" t="s">
        <v>61</v>
      </c>
      <c r="E6" s="12">
        <v>74113</v>
      </c>
      <c r="F6" s="12">
        <v>14102330000</v>
      </c>
      <c r="G6" s="1" t="s">
        <v>56</v>
      </c>
      <c r="H6" s="1" t="s">
        <v>58</v>
      </c>
      <c r="I6" s="12">
        <v>9871631</v>
      </c>
      <c r="J6" s="12">
        <v>10871631</v>
      </c>
    </row>
    <row r="7" spans="1:10" x14ac:dyDescent="0.25">
      <c r="A7" s="12">
        <v>5</v>
      </c>
      <c r="B7" s="9" t="s">
        <v>89</v>
      </c>
      <c r="C7" s="1" t="s">
        <v>70</v>
      </c>
      <c r="D7" s="1" t="s">
        <v>62</v>
      </c>
      <c r="E7" s="12">
        <v>63921</v>
      </c>
      <c r="F7" s="12">
        <v>12009880000</v>
      </c>
      <c r="G7" s="1" t="s">
        <v>56</v>
      </c>
      <c r="H7" s="1" t="s">
        <v>57</v>
      </c>
      <c r="I7" s="12">
        <v>9607904</v>
      </c>
      <c r="J7" s="12">
        <v>10607904</v>
      </c>
    </row>
    <row r="8" spans="1:10" x14ac:dyDescent="0.25">
      <c r="A8" s="12">
        <v>6</v>
      </c>
      <c r="B8" t="s">
        <v>90</v>
      </c>
      <c r="C8" s="1" t="s">
        <v>63</v>
      </c>
      <c r="D8" s="1" t="s">
        <v>63</v>
      </c>
      <c r="E8" s="12">
        <v>52448</v>
      </c>
      <c r="F8" s="12">
        <v>9455230000</v>
      </c>
      <c r="G8" s="1" t="s">
        <v>56</v>
      </c>
      <c r="H8" s="1" t="s">
        <v>57</v>
      </c>
      <c r="I8" s="12">
        <v>7564184</v>
      </c>
      <c r="J8" s="12">
        <v>8564184</v>
      </c>
    </row>
    <row r="9" spans="1:10" x14ac:dyDescent="0.25">
      <c r="A9" s="12">
        <v>7</v>
      </c>
      <c r="B9" s="10" t="s">
        <v>91</v>
      </c>
      <c r="C9" s="1" t="s">
        <v>71</v>
      </c>
      <c r="D9" s="1" t="s">
        <v>64</v>
      </c>
      <c r="E9" s="12">
        <v>49302</v>
      </c>
      <c r="F9" s="12">
        <v>8921450000</v>
      </c>
      <c r="G9" s="1" t="s">
        <v>56</v>
      </c>
      <c r="H9" s="1" t="s">
        <v>57</v>
      </c>
      <c r="I9" s="12">
        <v>7137160</v>
      </c>
      <c r="J9" s="12">
        <v>8137160</v>
      </c>
    </row>
    <row r="10" spans="1:10" x14ac:dyDescent="0.25">
      <c r="A10" s="12">
        <v>8</v>
      </c>
      <c r="B10" t="s">
        <v>92</v>
      </c>
      <c r="C10" s="1" t="s">
        <v>72</v>
      </c>
      <c r="D10" s="1" t="s">
        <v>65</v>
      </c>
      <c r="E10" s="12">
        <v>38654</v>
      </c>
      <c r="F10" s="12">
        <v>6784120000</v>
      </c>
      <c r="G10" s="1" t="s">
        <v>56</v>
      </c>
      <c r="H10" s="1" t="s">
        <v>57</v>
      </c>
      <c r="I10" s="12">
        <v>5427296</v>
      </c>
      <c r="J10" s="12">
        <v>6427296</v>
      </c>
    </row>
    <row r="11" spans="1:10" x14ac:dyDescent="0.25">
      <c r="A11" s="12">
        <v>9</v>
      </c>
      <c r="B11" t="s">
        <v>93</v>
      </c>
      <c r="C11" s="1" t="s">
        <v>66</v>
      </c>
      <c r="D11" s="1" t="s">
        <v>66</v>
      </c>
      <c r="E11" s="12">
        <v>27832</v>
      </c>
      <c r="F11" s="12">
        <v>4982630000</v>
      </c>
      <c r="G11" s="1" t="s">
        <v>56</v>
      </c>
      <c r="H11" s="1" t="s">
        <v>57</v>
      </c>
      <c r="I11" s="12">
        <v>3986104</v>
      </c>
      <c r="J11" s="12">
        <v>4986104</v>
      </c>
    </row>
    <row r="12" spans="1:10" x14ac:dyDescent="0.25">
      <c r="A12" s="12">
        <v>10</v>
      </c>
      <c r="B12" t="s">
        <v>94</v>
      </c>
      <c r="C12" s="1" t="s">
        <v>67</v>
      </c>
      <c r="D12" s="1" t="s">
        <v>67</v>
      </c>
      <c r="E12" s="12">
        <v>22145</v>
      </c>
      <c r="F12" s="12">
        <v>3765230000</v>
      </c>
      <c r="G12" s="1" t="s">
        <v>56</v>
      </c>
      <c r="H12" s="1" t="s">
        <v>57</v>
      </c>
      <c r="I12" s="12">
        <v>3012184</v>
      </c>
      <c r="J12" s="12">
        <v>4012184</v>
      </c>
    </row>
    <row r="13" spans="1:10" x14ac:dyDescent="0.25">
      <c r="D13" s="7"/>
      <c r="E13" s="7"/>
      <c r="F13" s="7"/>
      <c r="H13" s="7"/>
      <c r="I13" s="7"/>
    </row>
    <row r="17" spans="1:5" x14ac:dyDescent="0.25">
      <c r="A17" s="5" t="s">
        <v>44</v>
      </c>
      <c r="B17" s="5" t="s">
        <v>45</v>
      </c>
      <c r="C17" s="1" t="s">
        <v>73</v>
      </c>
      <c r="D17" s="1" t="s">
        <v>74</v>
      </c>
      <c r="E17" s="1" t="s">
        <v>47</v>
      </c>
    </row>
    <row r="18" spans="1:5" x14ac:dyDescent="0.25">
      <c r="A18" s="4">
        <v>1</v>
      </c>
      <c r="B18" s="8" t="s">
        <v>53</v>
      </c>
      <c r="C18" t="s">
        <v>76</v>
      </c>
      <c r="D18" t="s">
        <v>85</v>
      </c>
      <c r="E18">
        <f t="shared" ref="E18:E27" si="0">VLOOKUP(TRIM(D18), $B$1:$J$12, 4, FALSE)</f>
        <v>128.345</v>
      </c>
    </row>
    <row r="19" spans="1:5" x14ac:dyDescent="0.25">
      <c r="A19" s="6">
        <v>2</v>
      </c>
      <c r="B19" s="6" t="s">
        <v>59</v>
      </c>
      <c r="C19" t="s">
        <v>77</v>
      </c>
      <c r="D19" s="9" t="s">
        <v>86</v>
      </c>
      <c r="E19">
        <f>VLOOKUP(TRIM(D19), $B$1:$J$12, 4, FALSE)</f>
        <v>96732</v>
      </c>
    </row>
    <row r="20" spans="1:5" x14ac:dyDescent="0.25">
      <c r="A20" s="4">
        <v>3</v>
      </c>
      <c r="B20" s="4" t="s">
        <v>68</v>
      </c>
      <c r="C20" t="s">
        <v>78</v>
      </c>
      <c r="D20" t="s">
        <v>87</v>
      </c>
      <c r="E20">
        <f t="shared" si="0"/>
        <v>87531</v>
      </c>
    </row>
    <row r="21" spans="1:5" x14ac:dyDescent="0.25">
      <c r="A21" s="6">
        <v>4</v>
      </c>
      <c r="B21" s="6" t="s">
        <v>69</v>
      </c>
      <c r="C21" t="s">
        <v>79</v>
      </c>
      <c r="D21" t="s">
        <v>88</v>
      </c>
      <c r="E21">
        <f t="shared" si="0"/>
        <v>74113</v>
      </c>
    </row>
    <row r="22" spans="1:5" x14ac:dyDescent="0.25">
      <c r="A22" s="4">
        <v>5</v>
      </c>
      <c r="B22" s="4" t="s">
        <v>70</v>
      </c>
      <c r="C22" t="s">
        <v>80</v>
      </c>
      <c r="D22" s="9" t="s">
        <v>89</v>
      </c>
      <c r="E22">
        <f t="shared" si="0"/>
        <v>63921</v>
      </c>
    </row>
    <row r="23" spans="1:5" x14ac:dyDescent="0.25">
      <c r="A23" s="6">
        <v>6</v>
      </c>
      <c r="B23" s="6" t="s">
        <v>63</v>
      </c>
      <c r="C23" t="s">
        <v>81</v>
      </c>
      <c r="D23" t="s">
        <v>90</v>
      </c>
      <c r="E23">
        <f t="shared" si="0"/>
        <v>52448</v>
      </c>
    </row>
    <row r="24" spans="1:5" x14ac:dyDescent="0.25">
      <c r="A24" s="4">
        <v>7</v>
      </c>
      <c r="B24" s="4" t="s">
        <v>71</v>
      </c>
      <c r="C24" t="s">
        <v>82</v>
      </c>
      <c r="D24" s="10" t="s">
        <v>91</v>
      </c>
      <c r="E24">
        <f t="shared" si="0"/>
        <v>49302</v>
      </c>
    </row>
    <row r="25" spans="1:5" x14ac:dyDescent="0.25">
      <c r="A25" s="6">
        <v>8</v>
      </c>
      <c r="B25" s="6" t="s">
        <v>72</v>
      </c>
      <c r="C25" t="s">
        <v>83</v>
      </c>
      <c r="D25" t="s">
        <v>92</v>
      </c>
      <c r="E25">
        <f t="shared" si="0"/>
        <v>38654</v>
      </c>
    </row>
    <row r="26" spans="1:5" x14ac:dyDescent="0.25">
      <c r="A26" s="4">
        <v>9</v>
      </c>
      <c r="B26" s="4" t="s">
        <v>66</v>
      </c>
      <c r="C26" t="s">
        <v>84</v>
      </c>
      <c r="D26" t="s">
        <v>93</v>
      </c>
      <c r="E26">
        <f t="shared" si="0"/>
        <v>27832</v>
      </c>
    </row>
    <row r="27" spans="1:5" x14ac:dyDescent="0.25">
      <c r="A27" s="6">
        <v>10</v>
      </c>
      <c r="B27" s="6" t="s">
        <v>67</v>
      </c>
      <c r="C27" t="s">
        <v>75</v>
      </c>
      <c r="D27" t="s">
        <v>94</v>
      </c>
      <c r="E27">
        <f t="shared" si="0"/>
        <v>22145</v>
      </c>
    </row>
  </sheetData>
  <mergeCells count="1">
    <mergeCell ref="A1:J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2026-10-18T07:38:11Z</dcterms:created>
  <dcterms:modified xsi:type="dcterms:W3CDTF">2026-10-20T08:46:49Z</dcterms:modified>
</cp:coreProperties>
</file>